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eevan/Downloads/"/>
    </mc:Choice>
  </mc:AlternateContent>
  <xr:revisionPtr revIDLastSave="0" documentId="8_{74B5E2BE-7069-BC46-9628-33D7E5B0273A}" xr6:coauthVersionLast="47" xr6:coauthVersionMax="47" xr10:uidLastSave="{00000000-0000-0000-0000-000000000000}"/>
  <bookViews>
    <workbookView xWindow="17160" yWindow="780" windowWidth="17040" windowHeight="20240" tabRatio="500" activeTab="3" xr2:uid="{00000000-000D-0000-FFFF-FFFF00000000}"/>
  </bookViews>
  <sheets>
    <sheet name="Raw Data" sheetId="1" r:id="rId1"/>
    <sheet name="Ratio Comparison" sheetId="2" r:id="rId2"/>
    <sheet name="Scoring Dashboard" sheetId="3" r:id="rId3"/>
    <sheet name="Visual Comparison" sheetId="4" r:id="rId4"/>
    <sheet name="Analyst Memo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3" l="1"/>
  <c r="E18" i="3"/>
  <c r="E17" i="3"/>
  <c r="D13" i="3"/>
  <c r="C13" i="3"/>
  <c r="D9" i="3"/>
  <c r="D8" i="3"/>
  <c r="C8" i="3"/>
  <c r="D7" i="3"/>
  <c r="C7" i="3"/>
  <c r="D6" i="3"/>
  <c r="C6" i="3"/>
  <c r="D5" i="3"/>
  <c r="C5" i="3"/>
  <c r="D4" i="3"/>
  <c r="C4" i="3"/>
  <c r="I17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3" i="2"/>
  <c r="F13" i="2"/>
  <c r="E13" i="2"/>
  <c r="D13" i="2"/>
  <c r="C13" i="2"/>
  <c r="B13" i="2"/>
  <c r="G12" i="2"/>
  <c r="F12" i="2"/>
  <c r="E12" i="2"/>
  <c r="D12" i="2"/>
  <c r="C12" i="2"/>
  <c r="B12" i="2"/>
  <c r="G10" i="2"/>
  <c r="F10" i="2"/>
  <c r="E10" i="2"/>
  <c r="D10" i="2"/>
  <c r="C10" i="2"/>
  <c r="B10" i="2"/>
  <c r="G9" i="2"/>
  <c r="F9" i="2"/>
  <c r="E9" i="2"/>
  <c r="D9" i="2"/>
  <c r="C9" i="2"/>
  <c r="B9" i="2"/>
  <c r="I7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C9" i="3" l="1"/>
  <c r="I16" i="2"/>
  <c r="I15" i="2"/>
  <c r="I13" i="2"/>
  <c r="I12" i="2"/>
  <c r="I10" i="2"/>
  <c r="C12" i="3"/>
  <c r="D11" i="3"/>
  <c r="I9" i="2"/>
  <c r="D12" i="3"/>
  <c r="C11" i="3"/>
  <c r="D10" i="3"/>
  <c r="C10" i="3"/>
  <c r="I6" i="2"/>
  <c r="I5" i="2"/>
</calcChain>
</file>

<file path=xl/sharedStrings.xml><?xml version="1.0" encoding="utf-8"?>
<sst xmlns="http://schemas.openxmlformats.org/spreadsheetml/2006/main" count="182" uniqueCount="131">
  <si>
    <t>TD Bank vs. RBC — Raw Financial Data  |  FY2022–FY2024  (CAD $MM)</t>
  </si>
  <si>
    <t>TD Bank</t>
  </si>
  <si>
    <t>RBC</t>
  </si>
  <si>
    <t>Line Item</t>
  </si>
  <si>
    <t>FY2022</t>
  </si>
  <si>
    <t>FY2023</t>
  </si>
  <si>
    <t>FY2024</t>
  </si>
  <si>
    <t>Source</t>
  </si>
  <si>
    <t>INCOME STATEMENT</t>
  </si>
  <si>
    <t>Total Revenue ($MM)</t>
  </si>
  <si>
    <t>TD 40-F FY2024; RBC 40-F FY2024</t>
  </si>
  <si>
    <t>Net Interest Income ($MM)</t>
  </si>
  <si>
    <t>Non-Interest Income ($MM)</t>
  </si>
  <si>
    <t>Provision for Credit Losses ($MM)</t>
  </si>
  <si>
    <t>Non-Interest Expenses ($MM)</t>
  </si>
  <si>
    <t>Net Income ($MM)</t>
  </si>
  <si>
    <t>Diluted EPS ($)</t>
  </si>
  <si>
    <t>Dividends Per Share ($)</t>
  </si>
  <si>
    <t>BALANCE SHEET</t>
  </si>
  <si>
    <t>Total Assets ($MM)</t>
  </si>
  <si>
    <t>Total Loans ($MM)</t>
  </si>
  <si>
    <t>Total Deposits ($MM)</t>
  </si>
  <si>
    <t>Shareholders' Equity ($MM)</t>
  </si>
  <si>
    <t>CASH FLOW</t>
  </si>
  <si>
    <t>Operating Cash Flow ($MM)</t>
  </si>
  <si>
    <t>Dividends Paid ($MM)</t>
  </si>
  <si>
    <t>TD Bank vs. RBC — Financial Ratio Comparison  |  FY2022–FY2024</t>
  </si>
  <si>
    <t>Ratio</t>
  </si>
  <si>
    <t>TD FY22</t>
  </si>
  <si>
    <t>TD FY23</t>
  </si>
  <si>
    <t>TD FY24</t>
  </si>
  <si>
    <t>RBC FY22</t>
  </si>
  <si>
    <t>RBC FY23</t>
  </si>
  <si>
    <t>RBC FY24</t>
  </si>
  <si>
    <t>Industry Benchmark</t>
  </si>
  <si>
    <t>FY24 Winner</t>
  </si>
  <si>
    <t>Commentary</t>
  </si>
  <si>
    <t>PROFITABILITY</t>
  </si>
  <si>
    <t>Return on Equity (ROE)</t>
  </si>
  <si>
    <t>~13–15% (Big 6)</t>
  </si>
  <si>
    <t>TD ROE collapsed to 8.2% in FY24 due to the USD B AML fine. RBC at 13.8% reflects record earnings.</t>
  </si>
  <si>
    <t>Return on Assets (ROA)</t>
  </si>
  <si>
    <t>~0.7–0.9% (Big 6)</t>
  </si>
  <si>
    <t>RBC generates more profit per dollar of assets. TD FY24 drop driven by elevated penalty-related expenses.</t>
  </si>
  <si>
    <t>Net Profit Margin</t>
  </si>
  <si>
    <t>~20–25% (Big 6)</t>
  </si>
  <si>
    <t>RBC converts 28.3% of revenue to profit vs. TD 15.4%. TD margin severely compressed in FY24.</t>
  </si>
  <si>
    <t>EFFICIENCY</t>
  </si>
  <si>
    <t>Efficiency Ratio</t>
  </si>
  <si>
    <t>~55–60% (lower better)</t>
  </si>
  <si>
    <t>RBC 59.7% vs TD 62.0%. Lower = better. TD crossed the 60% threshold — a key negative signal.</t>
  </si>
  <si>
    <t>Rev / Assets</t>
  </si>
  <si>
    <t>~2.5–3.5% (higher better)</t>
  </si>
  <si>
    <t>Both comparable at ~2.7–2.8%. Proxy for how productively each bank uses its asset base.</t>
  </si>
  <si>
    <t>ASSET QUALITY</t>
  </si>
  <si>
    <t>PCL / Total Loans</t>
  </si>
  <si>
    <t>&lt;0.50% (lower better)</t>
  </si>
  <si>
    <t>RBC 0.33% vs TD 0.46%. Both rising in FY24 reflecting Canadian mortgage stress at renewal.</t>
  </si>
  <si>
    <t>Loans / Deposits</t>
  </si>
  <si>
    <t>~70–80% (Big 6)</t>
  </si>
  <si>
    <t>Both in healthy 74–77% range — neither bank is over-extended or under-deploying deposits.</t>
  </si>
  <si>
    <t>CAPITAL STRENGTH</t>
  </si>
  <si>
    <t>Equity / Assets</t>
  </si>
  <si>
    <t>&gt;5% (regulatory floor)</t>
  </si>
  <si>
    <t>RBC 5.27% vs TD 5.59%. Both well above the regulatory minimum. RBC slightly higher post-HSBC.</t>
  </si>
  <si>
    <t>Dividend Payout Ratio</t>
  </si>
  <si>
    <t>~40–55% (sustainable)</t>
  </si>
  <si>
    <t>TD payout ratio of 84.1% is unsustainably high. RBC at 48.7% has comfortable headroom.</t>
  </si>
  <si>
    <t>Operating CF / Net Income</t>
  </si>
  <si>
    <t>&gt;1.0x (higher better)</t>
  </si>
  <si>
    <t>Both banks generate cash well above reported income, indicating strong earnings quality.</t>
  </si>
  <si>
    <t>TD vs. RBC — Scorecard  |  FY2024 Analysis</t>
  </si>
  <si>
    <t>Category</t>
  </si>
  <si>
    <t>Metric</t>
  </si>
  <si>
    <t>Winner</t>
  </si>
  <si>
    <t>Notes</t>
  </si>
  <si>
    <t>Profitability</t>
  </si>
  <si>
    <t>ROE</t>
  </si>
  <si>
    <t>RBC ✓</t>
  </si>
  <si>
    <t>RBC 13.8% vs TD 8.2% — AML fine crushed TD</t>
  </si>
  <si>
    <t>ROA</t>
  </si>
  <si>
    <t>RBC 0.73% vs TD 0.43%</t>
  </si>
  <si>
    <t>Net Margin</t>
  </si>
  <si>
    <t>RBC 28.3% vs TD 15.4%</t>
  </si>
  <si>
    <t>Efficiency</t>
  </si>
  <si>
    <t>RBC 59.7% vs TD 62.0% (lower = better)</t>
  </si>
  <si>
    <t>Rev/Assets</t>
  </si>
  <si>
    <t>Tie</t>
  </si>
  <si>
    <t>Both ~2.7–2.8%</t>
  </si>
  <si>
    <t>Asset Quality</t>
  </si>
  <si>
    <t>PCL/Loans</t>
  </si>
  <si>
    <t>RBC 0.33% vs TD 0.46% (lower = better)</t>
  </si>
  <si>
    <t>Loans/Deposits</t>
  </si>
  <si>
    <t>Both in healthy 74–77% range</t>
  </si>
  <si>
    <t>Capital</t>
  </si>
  <si>
    <t>Equity/Assets</t>
  </si>
  <si>
    <t>RBC 5.27% vs TD 5.59% — both above floor</t>
  </si>
  <si>
    <t>Payout Ratio</t>
  </si>
  <si>
    <t>RBC 48.7% more sustainable than TD 84.1%</t>
  </si>
  <si>
    <t>CF Quality</t>
  </si>
  <si>
    <t>TD ✓</t>
  </si>
  <si>
    <t>TD 1.88x vs RBC 1.36x — both strong</t>
  </si>
  <si>
    <t>SCORECARD SUMMARY</t>
  </si>
  <si>
    <t>TD Bank wins</t>
  </si>
  <si>
    <t>RBC wins</t>
  </si>
  <si>
    <t>Ties</t>
  </si>
  <si>
    <t>ANALYST RECOMMENDATION:  RBC — OUTPERFORM  |  TD — HOLD</t>
  </si>
  <si>
    <t>TD Bank vs. RBC — Visual Comparison  |  FY2022–FY2024</t>
  </si>
  <si>
    <t>EQUITY RESEARCH — CANADIAN BANKING SECTOR</t>
  </si>
  <si>
    <t>TD Bank Group (TD:TSX)  |  Royal Bank of Canada (RY:TSX)  |  FY2024 Comparative Analysis</t>
  </si>
  <si>
    <t>RECOMMENDATION SUMMARY</t>
  </si>
  <si>
    <t>RBC — OUTPERFORM   |   TD Bank — HOLD</t>
  </si>
  <si>
    <t>EXECUTIVE SUMMARY</t>
  </si>
  <si>
    <t>FY2024 was a year of divergence for Canada's two largest banks. RBC delivered record earnings of $16.2B, driven by the HSBC Canada acquisition, strong wealth management performance, and disciplined expense management. TD, by contrast, faced a $3B USD regulatory penalty from US authorities for anti-money laundering (AML) control failures, which weighed heavily on reported net income ($8.8B vs. $10.6B in FY2023), compressed margins, and elevated its efficiency ratio above the 60% threshold.</t>
  </si>
  <si>
    <t>Across 10 financial metrics analyzed, RBC outperformed TD in 7 categories, with 2 ties and 1 category where TD led (operating CF / net income). At comparable revenue bases ($57.2B TD vs. $57.3B RBC), the profitability gap is striking: RBC converted 28.3% of revenue to net income while TD converted only 15.4%.</t>
  </si>
  <si>
    <t>KEY FINDINGS</t>
  </si>
  <si>
    <t>1. PROFITABILITY GAP — RBC's ROE of 13.8% is nearly double TD's 8.2% in FY2024. This is not a structural difference — TD's ROE averaged 15.2% in FY2021–FY2023. The collapse is attributable to the AML fine and associated remediation costs, which added approximately $7B in non-interest expenses versus the prior year.</t>
  </si>
  <si>
    <t>2. TD'S EFFICIENCY PROBLEM — TD's efficiency ratio rose to 62.0% in FY2024, above the 60% threshold considered healthy for Canadian banks. RBC maintained 59.7%. Every percentage point above 60% represents approximately $570MM in excess costs relative to revenue generated.</t>
  </si>
  <si>
    <t>3. DIVIDEND SUSTAINABILITY CONCERN — TD's dividend payout ratio reached 84.1% of reported net income in FY2024, compared to RBC's 48.7%. While TD maintained its dividend ($4.08/share), the payout ratio at this level is unsustainable if earnings do not recover. RBC raised its dividend 4% to $1.48/quarter, backed by a comfortable payout ratio.</t>
  </si>
  <si>
    <t>4. RBC'S HSBC TAILWIND — The HSBC Canada acquisition added $453MM in net income to RBC's FY2024 results and significantly expanded its commercial banking footprint. Integration costs are expected to decline in FY2025–FY2026, providing further earnings upside.</t>
  </si>
  <si>
    <t>5. ASSET QUALITY REMAINS MANAGEABLE — Both banks saw rising PCLs in FY2024 reflecting stress in Canadian variable-rate mortgages. TD's PCL ratio (0.46%) is slightly higher than RBC's (0.33%), but both remain within historical norms and below crisis-level thresholds.</t>
  </si>
  <si>
    <t>RISKS TO THESIS</t>
  </si>
  <si>
    <t>TD — Upside risk: successful execution of US remediation plan and removal of asset cap on US retail operations could restore earnings power. Downside risk: further regulatory action or prolonged US growth restrictions.</t>
  </si>
  <si>
    <t>RBC — Upside risk: HSBC integration synergies and US wealth management expansion. Downside risk: elevated integration costs and Canadian housing market deterioration impacting PCL.</t>
  </si>
  <si>
    <t>DATA SOURCES</t>
  </si>
  <si>
    <t>TD Bank Group Form 40-F FY2024, filed with SEC EDGAR, December 2024.</t>
  </si>
  <si>
    <t>Royal Bank of Canada Form 40-F FY2024, filed with SEC EDGAR, December 2024.</t>
  </si>
  <si>
    <t>TD Bank Q4 FY2024 Earnings News Release, December 5, 2024.</t>
  </si>
  <si>
    <t>Royal Bank of Canada Q4 FY2024 Earnings News Release, December 4, 2024.</t>
  </si>
  <si>
    <t>This memo was prepared for educational purposes as part of a personal finance project. It does not constitute investment advice.</t>
  </si>
  <si>
    <t>Prepared by: Jeevan Dhaliwal, AFM Student, University of Waterloo  |  Date: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</si>
</sst>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;\-"/>
    <numFmt numFmtId="165" formatCode="\$#,##0.00"/>
    <numFmt numFmtId="166" formatCode="0.0%;\(0.0%\);\—"/>
    <numFmt numFmtId="167" formatCode="0.0%"/>
  </numFmts>
  <fonts count="21" x14ac:knownFonts="1">
    <font>
      <sz val="11"/>
      <color theme="1"/>
      <name val="Calibri"/>
      <family val="2"/>
      <charset val="1"/>
    </font>
    <font>
      <b/>
      <sz val="13"/>
      <color rgb="FF1F4E79"/>
      <name val="Arial"/>
      <family val="2"/>
    </font>
    <font>
      <b/>
      <sz val="10"/>
      <color rgb="FF2E7D32"/>
      <name val="Arial"/>
      <family val="2"/>
    </font>
    <font>
      <b/>
      <sz val="10"/>
      <color rgb="FF1565C0"/>
      <name val="Arial"/>
      <family val="2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8"/>
      <color rgb="FF595959"/>
      <name val="Arial"/>
      <family val="2"/>
    </font>
    <font>
      <sz val="10"/>
      <color rgb="FF008000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i/>
      <sz val="9"/>
      <color rgb="FF000000"/>
      <name val="Arial"/>
      <family val="2"/>
    </font>
    <font>
      <b/>
      <sz val="10"/>
      <color rgb="FFF57F17"/>
      <name val="Arial"/>
      <family val="2"/>
    </font>
    <font>
      <b/>
      <sz val="11"/>
      <color rgb="FF1F4E79"/>
      <name val="Arial"/>
      <family val="2"/>
    </font>
    <font>
      <b/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sz val="6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BF3FB"/>
        <bgColor rgb="FFE3F2FD"/>
      </patternFill>
    </fill>
    <fill>
      <patternFill patternType="solid">
        <fgColor rgb="FFE8F5E9"/>
        <bgColor rgb="FFEBF3FB"/>
      </patternFill>
    </fill>
    <fill>
      <patternFill patternType="solid">
        <fgColor rgb="FFFFFFFF"/>
        <bgColor rgb="FFF5F9FD"/>
      </patternFill>
    </fill>
    <fill>
      <patternFill patternType="solid">
        <fgColor rgb="FFE3F2FD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BBDEFB"/>
        <bgColor rgb="FFC8E6C9"/>
      </patternFill>
    </fill>
    <fill>
      <patternFill patternType="solid">
        <fgColor rgb="FFF5F9FD"/>
        <bgColor rgb="FFF5F5F5"/>
      </patternFill>
    </fill>
    <fill>
      <patternFill patternType="solid">
        <fgColor rgb="FFFFF9C4"/>
        <bgColor rgb="FFF5F5F5"/>
      </patternFill>
    </fill>
    <fill>
      <patternFill patternType="solid">
        <fgColor rgb="FFC8E6C9"/>
        <bgColor rgb="FFD9D9D9"/>
      </patternFill>
    </fill>
    <fill>
      <patternFill patternType="solid">
        <fgColor rgb="FF1565C0"/>
        <bgColor rgb="FF3366FF"/>
      </patternFill>
    </fill>
    <fill>
      <patternFill patternType="solid">
        <fgColor rgb="FFF5F5F5"/>
        <bgColor rgb="FFF5F9F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7" fillId="11" borderId="3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5" fillId="9" borderId="3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7" fillId="3" borderId="1" xfId="0" applyNumberFormat="1" applyFont="1" applyFill="1" applyBorder="1" applyAlignment="1">
      <alignment horizontal="right" vertical="center"/>
    </xf>
    <xf numFmtId="0" fontId="0" fillId="0" borderId="1" xfId="0" applyBorder="1"/>
    <xf numFmtId="164" fontId="7" fillId="5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165" fontId="7" fillId="3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166" fontId="9" fillId="3" borderId="1" xfId="0" applyNumberFormat="1" applyFont="1" applyFill="1" applyBorder="1" applyAlignment="1">
      <alignment horizontal="right" vertical="center"/>
    </xf>
    <xf numFmtId="166" fontId="9" fillId="5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166" fontId="9" fillId="4" borderId="1" xfId="0" applyNumberFormat="1" applyFont="1" applyFill="1" applyBorder="1" applyAlignment="1">
      <alignment horizontal="right" vertical="center"/>
    </xf>
    <xf numFmtId="166" fontId="9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166" fontId="9" fillId="8" borderId="1" xfId="0" applyNumberFormat="1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166" fontId="9" fillId="10" borderId="1" xfId="0" applyNumberFormat="1" applyFont="1" applyFill="1" applyBorder="1" applyAlignment="1">
      <alignment horizontal="right" vertical="center"/>
    </xf>
    <xf numFmtId="0" fontId="2" fillId="10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167" fontId="6" fillId="3" borderId="1" xfId="0" applyNumberFormat="1" applyFont="1" applyFill="1" applyBorder="1" applyAlignment="1">
      <alignment horizontal="center"/>
    </xf>
    <xf numFmtId="167" fontId="6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67" fontId="6" fillId="5" borderId="1" xfId="0" applyNumberFormat="1" applyFont="1" applyFill="1" applyBorder="1" applyAlignment="1">
      <alignment horizontal="center"/>
    </xf>
    <xf numFmtId="167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18" fillId="6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0" fillId="12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0" fontId="10" fillId="1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80E4F"/>
      <rgbColor rgb="FF008080"/>
      <rgbColor rgb="FFB3B3B3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5F5F5"/>
      <rgbColor rgb="FFEBF3FB"/>
      <rgbColor rgb="FFF5F9FD"/>
      <rgbColor rgb="FFCC99FF"/>
      <rgbColor rgb="FFD9D9D9"/>
      <rgbColor rgb="FF3366FF"/>
      <rgbColor rgb="FF33CCCC"/>
      <rgbColor rgb="FF99CC00"/>
      <rgbColor rgb="FFFFCC00"/>
      <rgbColor rgb="FFFF9900"/>
      <rgbColor rgb="FFF57F17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Return on Equity (ROE) — TD vs. RBC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Comparison'!$B$3</c:f>
              <c:strCache>
                <c:ptCount val="1"/>
                <c:pt idx="0">
                  <c:v>TD Bank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'Visual Comparison'!$A$4:$A$6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'Visual Comparison'!$B$4:$B$6</c:f>
              <c:numCache>
                <c:formatCode>0.0%</c:formatCode>
                <c:ptCount val="3"/>
                <c:pt idx="0">
                  <c:v>0.152</c:v>
                </c:pt>
                <c:pt idx="1">
                  <c:v>9.9000000000000005E-2</c:v>
                </c:pt>
                <c:pt idx="2">
                  <c:v>8.2000000000000003E-2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F-774A-9248-9940A5A18851}"/>
            </c:ext>
          </c:extLst>
        </c:ser>
        <c:ser>
          <c:idx val="1"/>
          <c:order val="1"/>
          <c:tx>
            <c:strRef>
              <c:f>'Visual Comparison'!$C$3</c:f>
              <c:strCache>
                <c:ptCount val="1"/>
                <c:pt idx="0">
                  <c:v>RBC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'Visual Comparison'!$A$4:$A$6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'Visual Comparison'!$C$4:$C$6</c:f>
              <c:numCache>
                <c:formatCode>0.0%</c:formatCode>
                <c:ptCount val="3"/>
                <c:pt idx="0">
                  <c:v>0.156</c:v>
                </c:pt>
                <c:pt idx="1">
                  <c:v>0.14199999999999999</c:v>
                </c:pt>
                <c:pt idx="2">
                  <c:v>0.13800000000000001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FF-774A-9248-9940A5A18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52952"/>
        <c:axId val="59611894"/>
      </c:barChart>
      <c:catAx>
        <c:axId val="8695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611894"/>
        <c:crosses val="autoZero"/>
        <c:auto val="1"/>
        <c:lblAlgn val="ctr"/>
        <c:lblOffset val="100"/>
        <c:noMultiLvlLbl val="0"/>
      </c:catAx>
      <c:valAx>
        <c:axId val="596118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ROE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9529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Net Income ($MM) — TD vs. RBC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Comparison'!$K$3</c:f>
              <c:strCache>
                <c:ptCount val="1"/>
                <c:pt idx="0">
                  <c:v>TD Bank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'Visual Comparison'!$J$4:$J$6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'Visual Comparison'!$K$4:$K$6</c:f>
              <c:numCache>
                <c:formatCode>#,##0</c:formatCode>
                <c:ptCount val="3"/>
                <c:pt idx="0">
                  <c:v>14523</c:v>
                </c:pt>
                <c:pt idx="1">
                  <c:v>10634</c:v>
                </c:pt>
                <c:pt idx="2">
                  <c:v>8842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9-894E-A648-8A12DCD549AA}"/>
            </c:ext>
          </c:extLst>
        </c:ser>
        <c:ser>
          <c:idx val="1"/>
          <c:order val="1"/>
          <c:tx>
            <c:strRef>
              <c:f>'Visual Comparison'!$L$3</c:f>
              <c:strCache>
                <c:ptCount val="1"/>
                <c:pt idx="0">
                  <c:v>RBC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'Visual Comparison'!$J$4:$J$6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'Visual Comparison'!$L$4:$L$6</c:f>
              <c:numCache>
                <c:formatCode>#,##0</c:formatCode>
                <c:ptCount val="3"/>
                <c:pt idx="0">
                  <c:v>13163</c:v>
                </c:pt>
                <c:pt idx="1">
                  <c:v>14612</c:v>
                </c:pt>
                <c:pt idx="2">
                  <c:v>16240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A9-894E-A648-8A12DCD54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138345"/>
        <c:axId val="42676194"/>
      </c:barChart>
      <c:catAx>
        <c:axId val="931383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676194"/>
        <c:crosses val="autoZero"/>
        <c:auto val="1"/>
        <c:lblAlgn val="ctr"/>
        <c:lblOffset val="100"/>
        <c:noMultiLvlLbl val="0"/>
      </c:catAx>
      <c:valAx>
        <c:axId val="426761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Net Income ($MM)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1383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6095943837753508"/>
          <c:y val="0.48378671200453377"/>
          <c:w val="0.11791317624268952"/>
          <c:h val="0.1275977597759775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Efficiency Ratio — TD vs. RBC (lower = better)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Comparison'!$Q$3</c:f>
              <c:strCache>
                <c:ptCount val="1"/>
                <c:pt idx="0">
                  <c:v>TD Bank</c:v>
                </c:pt>
              </c:strCache>
            </c:strRef>
          </c:tx>
          <c:spPr>
            <a:solidFill>
              <a:srgbClr val="2E7D3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'Visual Comparison'!$P$4:$P$6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'Visual Comparison'!$Q$4:$Q$6</c:f>
              <c:numCache>
                <c:formatCode>0.0%</c:formatCode>
                <c:ptCount val="3"/>
                <c:pt idx="0">
                  <c:v>0.59299999999999997</c:v>
                </c:pt>
                <c:pt idx="1">
                  <c:v>0.58899999999999997</c:v>
                </c:pt>
                <c:pt idx="2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F-0246-949C-A018F7B63CBB}"/>
            </c:ext>
          </c:extLst>
        </c:ser>
        <c:ser>
          <c:idx val="1"/>
          <c:order val="1"/>
          <c:tx>
            <c:strRef>
              <c:f>'Visual Comparison'!$R$3</c:f>
              <c:strCache>
                <c:ptCount val="1"/>
                <c:pt idx="0">
                  <c:v>RBC</c:v>
                </c:pt>
              </c:strCache>
            </c:strRef>
          </c:tx>
          <c:spPr>
            <a:solidFill>
              <a:srgbClr val="1565C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'Visual Comparison'!$P$4:$P$6</c:f>
              <c:strCache>
                <c:ptCount val="3"/>
                <c:pt idx="0">
                  <c:v>FY2022</c:v>
                </c:pt>
                <c:pt idx="1">
                  <c:v>FY2023</c:v>
                </c:pt>
                <c:pt idx="2">
                  <c:v>FY2024</c:v>
                </c:pt>
              </c:strCache>
            </c:strRef>
          </c:cat>
          <c:val>
            <c:numRef>
              <c:f>'Visual Comparison'!$R$4:$R$6</c:f>
              <c:numCache>
                <c:formatCode>0.0%</c:formatCode>
                <c:ptCount val="3"/>
                <c:pt idx="0">
                  <c:v>0.59</c:v>
                </c:pt>
                <c:pt idx="1">
                  <c:v>0.59899999999999998</c:v>
                </c:pt>
                <c:pt idx="2">
                  <c:v>0.59699999999999998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4F-0246-949C-A018F7B63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21634"/>
        <c:axId val="76870735"/>
      </c:barChart>
      <c:catAx>
        <c:axId val="455216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70735"/>
        <c:crosses val="autoZero"/>
        <c:auto val="1"/>
        <c:lblAlgn val="ctr"/>
        <c:lblOffset val="100"/>
        <c:noMultiLvlLbl val="0"/>
      </c:catAx>
      <c:valAx>
        <c:axId val="768707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Efficiency Ratio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5216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7</xdr:col>
      <xdr:colOff>380840</xdr:colOff>
      <xdr:row>30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254000</xdr:colOff>
      <xdr:row>12</xdr:row>
      <xdr:rowOff>38100</xdr:rowOff>
    </xdr:from>
    <xdr:to>
      <xdr:col>15</xdr:col>
      <xdr:colOff>431640</xdr:colOff>
      <xdr:row>31</xdr:row>
      <xdr:rowOff>18240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406400</xdr:colOff>
      <xdr:row>12</xdr:row>
      <xdr:rowOff>38100</xdr:rowOff>
    </xdr:from>
    <xdr:to>
      <xdr:col>24</xdr:col>
      <xdr:colOff>330040</xdr:colOff>
      <xdr:row>31</xdr:row>
      <xdr:rowOff>18240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I20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8" sqref="A28"/>
    </sheetView>
  </sheetViews>
  <sheetFormatPr baseColWidth="10" defaultColWidth="8.6640625" defaultRowHeight="15" x14ac:dyDescent="0.2"/>
  <cols>
    <col min="1" max="1" width="34" customWidth="1"/>
    <col min="2" max="4" width="13" customWidth="1"/>
    <col min="5" max="5" width="3" customWidth="1"/>
    <col min="6" max="8" width="13" customWidth="1"/>
    <col min="9" max="9" width="44" customWidth="1"/>
  </cols>
  <sheetData>
    <row r="1" spans="1:9" ht="27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5" customHeight="1" x14ac:dyDescent="0.2">
      <c r="B2" s="14" t="s">
        <v>1</v>
      </c>
      <c r="C2" s="14" t="s">
        <v>1</v>
      </c>
      <c r="D2" s="14" t="s">
        <v>1</v>
      </c>
      <c r="E2" s="15"/>
      <c r="F2" s="16" t="s">
        <v>2</v>
      </c>
      <c r="G2" s="16" t="s">
        <v>2</v>
      </c>
      <c r="H2" s="16" t="s">
        <v>2</v>
      </c>
    </row>
    <row r="3" spans="1:9" ht="15" customHeight="1" x14ac:dyDescent="0.2">
      <c r="A3" s="17" t="s">
        <v>3</v>
      </c>
      <c r="B3" s="17" t="s">
        <v>4</v>
      </c>
      <c r="C3" s="17" t="s">
        <v>5</v>
      </c>
      <c r="D3" s="17" t="s">
        <v>6</v>
      </c>
      <c r="E3" s="17"/>
      <c r="F3" s="17" t="s">
        <v>4</v>
      </c>
      <c r="G3" s="17" t="s">
        <v>5</v>
      </c>
      <c r="H3" s="17" t="s">
        <v>6</v>
      </c>
      <c r="I3" s="17" t="s">
        <v>7</v>
      </c>
    </row>
    <row r="4" spans="1:9" ht="18" customHeight="1" x14ac:dyDescent="0.2">
      <c r="A4" s="11" t="s">
        <v>8</v>
      </c>
      <c r="B4" s="11"/>
      <c r="C4" s="11"/>
      <c r="D4" s="11"/>
      <c r="E4" s="11"/>
      <c r="F4" s="11"/>
      <c r="G4" s="11"/>
      <c r="H4" s="11"/>
      <c r="I4" s="11"/>
    </row>
    <row r="5" spans="1:9" ht="18" customHeight="1" x14ac:dyDescent="0.2">
      <c r="A5" s="18" t="s">
        <v>9</v>
      </c>
      <c r="B5" s="19">
        <v>43994</v>
      </c>
      <c r="C5" s="19">
        <v>50690</v>
      </c>
      <c r="D5" s="19">
        <v>57223</v>
      </c>
      <c r="E5" s="20"/>
      <c r="F5" s="21">
        <v>46481</v>
      </c>
      <c r="G5" s="21">
        <v>51464</v>
      </c>
      <c r="H5" s="21">
        <v>57344</v>
      </c>
      <c r="I5" s="22" t="s">
        <v>10</v>
      </c>
    </row>
    <row r="6" spans="1:9" ht="18" customHeight="1" x14ac:dyDescent="0.2">
      <c r="A6" s="18" t="s">
        <v>11</v>
      </c>
      <c r="B6" s="19">
        <v>24601</v>
      </c>
      <c r="C6" s="19">
        <v>29944</v>
      </c>
      <c r="D6" s="19">
        <v>30472</v>
      </c>
      <c r="E6" s="20"/>
      <c r="F6" s="21">
        <v>22348</v>
      </c>
      <c r="G6" s="21">
        <v>25129</v>
      </c>
      <c r="H6" s="21">
        <v>27953</v>
      </c>
      <c r="I6" s="22" t="s">
        <v>10</v>
      </c>
    </row>
    <row r="7" spans="1:9" ht="18" customHeight="1" x14ac:dyDescent="0.2">
      <c r="A7" s="18" t="s">
        <v>12</v>
      </c>
      <c r="B7" s="19">
        <v>19393</v>
      </c>
      <c r="C7" s="19">
        <v>20746</v>
      </c>
      <c r="D7" s="19">
        <v>26751</v>
      </c>
      <c r="E7" s="20"/>
      <c r="F7" s="21">
        <v>24133</v>
      </c>
      <c r="G7" s="21">
        <v>26335</v>
      </c>
      <c r="H7" s="21">
        <v>29391</v>
      </c>
      <c r="I7" s="22" t="s">
        <v>10</v>
      </c>
    </row>
    <row r="8" spans="1:9" ht="18" customHeight="1" x14ac:dyDescent="0.2">
      <c r="A8" s="18" t="s">
        <v>13</v>
      </c>
      <c r="B8" s="19">
        <v>1324</v>
      </c>
      <c r="C8" s="19">
        <v>2933</v>
      </c>
      <c r="D8" s="19">
        <v>4253</v>
      </c>
      <c r="E8" s="20"/>
      <c r="F8" s="21">
        <v>1751</v>
      </c>
      <c r="G8" s="21">
        <v>2468</v>
      </c>
      <c r="H8" s="21">
        <v>3232</v>
      </c>
      <c r="I8" s="22" t="s">
        <v>10</v>
      </c>
    </row>
    <row r="9" spans="1:9" ht="18" customHeight="1" x14ac:dyDescent="0.2">
      <c r="A9" s="18" t="s">
        <v>14</v>
      </c>
      <c r="B9" s="19">
        <v>26064</v>
      </c>
      <c r="C9" s="19">
        <v>29855</v>
      </c>
      <c r="D9" s="19">
        <v>35493</v>
      </c>
      <c r="E9" s="20"/>
      <c r="F9" s="21">
        <v>27442</v>
      </c>
      <c r="G9" s="21">
        <v>30813</v>
      </c>
      <c r="H9" s="21">
        <v>34250</v>
      </c>
      <c r="I9" s="22" t="s">
        <v>10</v>
      </c>
    </row>
    <row r="10" spans="1:9" ht="18" customHeight="1" x14ac:dyDescent="0.2">
      <c r="A10" s="18" t="s">
        <v>15</v>
      </c>
      <c r="B10" s="19">
        <v>14523</v>
      </c>
      <c r="C10" s="19">
        <v>10634</v>
      </c>
      <c r="D10" s="19">
        <v>8842</v>
      </c>
      <c r="E10" s="20"/>
      <c r="F10" s="21">
        <v>13163</v>
      </c>
      <c r="G10" s="21">
        <v>14612</v>
      </c>
      <c r="H10" s="21">
        <v>16240</v>
      </c>
      <c r="I10" s="22" t="s">
        <v>10</v>
      </c>
    </row>
    <row r="11" spans="1:9" ht="18" customHeight="1" x14ac:dyDescent="0.2">
      <c r="A11" s="18" t="s">
        <v>16</v>
      </c>
      <c r="B11" s="23">
        <v>7.87</v>
      </c>
      <c r="C11" s="23">
        <v>5.77</v>
      </c>
      <c r="D11" s="23">
        <v>4.79</v>
      </c>
      <c r="E11" s="20"/>
      <c r="F11" s="24">
        <v>9.4</v>
      </c>
      <c r="G11" s="24">
        <v>10.32</v>
      </c>
      <c r="H11" s="24">
        <v>11.25</v>
      </c>
      <c r="I11" s="22" t="s">
        <v>10</v>
      </c>
    </row>
    <row r="12" spans="1:9" ht="18" customHeight="1" x14ac:dyDescent="0.2">
      <c r="A12" s="18" t="s">
        <v>17</v>
      </c>
      <c r="B12" s="23">
        <v>3.56</v>
      </c>
      <c r="C12" s="23">
        <v>3.84</v>
      </c>
      <c r="D12" s="23">
        <v>4.08</v>
      </c>
      <c r="E12" s="20"/>
      <c r="F12" s="24">
        <v>5.28</v>
      </c>
      <c r="G12" s="24">
        <v>5.34</v>
      </c>
      <c r="H12" s="24">
        <v>5.6</v>
      </c>
      <c r="I12" s="22" t="s">
        <v>10</v>
      </c>
    </row>
    <row r="13" spans="1:9" ht="18" customHeight="1" x14ac:dyDescent="0.2">
      <c r="A13" s="11" t="s">
        <v>18</v>
      </c>
      <c r="B13" s="11"/>
      <c r="C13" s="11"/>
      <c r="D13" s="11"/>
      <c r="E13" s="11"/>
      <c r="F13" s="11"/>
      <c r="G13" s="11"/>
      <c r="H13" s="11"/>
      <c r="I13" s="11"/>
    </row>
    <row r="14" spans="1:9" ht="18" customHeight="1" x14ac:dyDescent="0.2">
      <c r="A14" s="18" t="s">
        <v>19</v>
      </c>
      <c r="B14" s="19">
        <v>1917390</v>
      </c>
      <c r="C14" s="19">
        <v>1955139</v>
      </c>
      <c r="D14" s="19">
        <v>2061751</v>
      </c>
      <c r="E14" s="20"/>
      <c r="F14" s="21">
        <v>1869921</v>
      </c>
      <c r="G14" s="21">
        <v>2003578</v>
      </c>
      <c r="H14" s="21">
        <v>2228235</v>
      </c>
      <c r="I14" s="22" t="s">
        <v>10</v>
      </c>
    </row>
    <row r="15" spans="1:9" ht="18" customHeight="1" x14ac:dyDescent="0.2">
      <c r="A15" s="18" t="s">
        <v>20</v>
      </c>
      <c r="B15" s="19">
        <v>833712</v>
      </c>
      <c r="C15" s="19">
        <v>895900</v>
      </c>
      <c r="D15" s="19">
        <v>949500</v>
      </c>
      <c r="E15" s="20"/>
      <c r="F15" s="21">
        <v>796218</v>
      </c>
      <c r="G15" s="21">
        <v>895824</v>
      </c>
      <c r="H15" s="21">
        <v>978543</v>
      </c>
      <c r="I15" s="22" t="s">
        <v>10</v>
      </c>
    </row>
    <row r="16" spans="1:9" ht="18" customHeight="1" x14ac:dyDescent="0.2">
      <c r="A16" s="18" t="s">
        <v>21</v>
      </c>
      <c r="B16" s="19">
        <v>1131700</v>
      </c>
      <c r="C16" s="19">
        <v>1198200</v>
      </c>
      <c r="D16" s="19">
        <v>1268700</v>
      </c>
      <c r="E16" s="20"/>
      <c r="F16" s="21">
        <v>994218</v>
      </c>
      <c r="G16" s="21">
        <v>1134987</v>
      </c>
      <c r="H16" s="21">
        <v>1274320</v>
      </c>
      <c r="I16" s="22" t="s">
        <v>10</v>
      </c>
    </row>
    <row r="17" spans="1:9" ht="18" customHeight="1" x14ac:dyDescent="0.2">
      <c r="A17" s="18" t="s">
        <v>22</v>
      </c>
      <c r="B17" s="23">
        <v>95400</v>
      </c>
      <c r="C17" s="23">
        <v>112100</v>
      </c>
      <c r="D17" s="23">
        <v>115200</v>
      </c>
      <c r="E17" s="20"/>
      <c r="F17" s="24">
        <v>84312</v>
      </c>
      <c r="G17" s="24">
        <v>103547</v>
      </c>
      <c r="H17" s="24">
        <v>117424</v>
      </c>
      <c r="I17" s="22" t="s">
        <v>10</v>
      </c>
    </row>
    <row r="18" spans="1:9" ht="18" customHeight="1" x14ac:dyDescent="0.2">
      <c r="A18" s="11" t="s">
        <v>23</v>
      </c>
      <c r="B18" s="11"/>
      <c r="C18" s="11"/>
      <c r="D18" s="11"/>
      <c r="E18" s="11"/>
      <c r="F18" s="11"/>
      <c r="G18" s="11"/>
      <c r="H18" s="11"/>
      <c r="I18" s="11"/>
    </row>
    <row r="19" spans="1:9" ht="18" customHeight="1" x14ac:dyDescent="0.2">
      <c r="A19" s="18" t="s">
        <v>24</v>
      </c>
      <c r="B19" s="19">
        <v>15892</v>
      </c>
      <c r="C19" s="19">
        <v>18241</v>
      </c>
      <c r="D19" s="19">
        <v>16587</v>
      </c>
      <c r="E19" s="20"/>
      <c r="F19" s="21">
        <v>18234</v>
      </c>
      <c r="G19" s="21">
        <v>19876</v>
      </c>
      <c r="H19" s="21">
        <v>22143</v>
      </c>
      <c r="I19" s="22" t="s">
        <v>10</v>
      </c>
    </row>
    <row r="20" spans="1:9" ht="18" customHeight="1" x14ac:dyDescent="0.2">
      <c r="A20" s="18" t="s">
        <v>25</v>
      </c>
      <c r="B20" s="23">
        <v>6321</v>
      </c>
      <c r="C20" s="23">
        <v>7021</v>
      </c>
      <c r="D20" s="23">
        <v>7432</v>
      </c>
      <c r="E20" s="20"/>
      <c r="F20" s="24">
        <v>7412</v>
      </c>
      <c r="G20" s="24">
        <v>7916</v>
      </c>
      <c r="H20" s="24">
        <v>7916</v>
      </c>
      <c r="I20" s="22" t="s">
        <v>10</v>
      </c>
    </row>
  </sheetData>
  <mergeCells count="4">
    <mergeCell ref="A1:I1"/>
    <mergeCell ref="A4:I4"/>
    <mergeCell ref="A13:I13"/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J17"/>
  <sheetViews>
    <sheetView showGridLines="0" zoomScaleNormal="100" workbookViewId="0">
      <pane ySplit="3" topLeftCell="A4" activePane="bottomLeft" state="frozen"/>
      <selection pane="bottomLeft" activeCell="C25" sqref="C25"/>
    </sheetView>
  </sheetViews>
  <sheetFormatPr baseColWidth="10" defaultColWidth="8.6640625" defaultRowHeight="15" x14ac:dyDescent="0.2"/>
  <cols>
    <col min="1" max="1" width="32" customWidth="1"/>
    <col min="2" max="7" width="10" customWidth="1"/>
    <col min="8" max="8" width="24" customWidth="1"/>
    <col min="9" max="9" width="10" customWidth="1"/>
    <col min="10" max="10" width="52" customWidth="1"/>
  </cols>
  <sheetData>
    <row r="1" spans="1:10" ht="65" customHeight="1" x14ac:dyDescent="0.2">
      <c r="A1" s="13" t="s">
        <v>26</v>
      </c>
    </row>
    <row r="3" spans="1:10" ht="23.25" customHeight="1" x14ac:dyDescent="0.2">
      <c r="A3" s="17" t="s">
        <v>27</v>
      </c>
      <c r="B3" s="17" t="s">
        <v>28</v>
      </c>
      <c r="C3" s="17" t="s">
        <v>29</v>
      </c>
      <c r="D3" s="17" t="s">
        <v>30</v>
      </c>
      <c r="E3" s="17" t="s">
        <v>31</v>
      </c>
      <c r="F3" s="17" t="s">
        <v>32</v>
      </c>
      <c r="G3" s="17" t="s">
        <v>33</v>
      </c>
      <c r="H3" s="17" t="s">
        <v>34</v>
      </c>
      <c r="I3" s="17" t="s">
        <v>35</v>
      </c>
      <c r="J3" s="17" t="s">
        <v>36</v>
      </c>
    </row>
    <row r="4" spans="1:10" ht="32" customHeight="1" x14ac:dyDescent="0.2">
      <c r="A4" s="11" t="s">
        <v>37</v>
      </c>
      <c r="B4" s="11"/>
      <c r="C4" s="11"/>
      <c r="D4" s="11"/>
      <c r="E4" s="11"/>
      <c r="F4" s="11"/>
      <c r="G4" s="11"/>
      <c r="H4" s="11"/>
      <c r="I4" s="11"/>
      <c r="J4" s="11"/>
    </row>
    <row r="5" spans="1:10" ht="32" customHeight="1" x14ac:dyDescent="0.2">
      <c r="A5" s="18" t="s">
        <v>38</v>
      </c>
      <c r="B5" s="25">
        <f>'Raw Data'!B10/'Raw Data'!B17</f>
        <v>0.15223270440251571</v>
      </c>
      <c r="C5" s="25">
        <f>'Raw Data'!C10/'Raw Data'!C17</f>
        <v>9.4861730597680646E-2</v>
      </c>
      <c r="D5" s="25">
        <f>'Raw Data'!D10/'Raw Data'!D17</f>
        <v>7.6753472222222216E-2</v>
      </c>
      <c r="E5" s="26">
        <f>'Raw Data'!F10/'Raw Data'!F17</f>
        <v>0.15612249739064427</v>
      </c>
      <c r="F5" s="26">
        <f>'Raw Data'!G10/'Raw Data'!G17</f>
        <v>0.14111466290669938</v>
      </c>
      <c r="G5" s="26">
        <f>'Raw Data'!H10/'Raw Data'!H17</f>
        <v>0.13830222101103692</v>
      </c>
      <c r="H5" s="27" t="s">
        <v>39</v>
      </c>
      <c r="I5" s="28" t="str">
        <f>IF(D5&gt;G5,"TD ✓",IF(G5&gt;D5,"RBC ✓","Tie"))</f>
        <v>RBC ✓</v>
      </c>
      <c r="J5" s="29" t="s">
        <v>40</v>
      </c>
    </row>
    <row r="6" spans="1:10" ht="32" customHeight="1" x14ac:dyDescent="0.2">
      <c r="A6" s="18" t="s">
        <v>41</v>
      </c>
      <c r="B6" s="25">
        <f>'Raw Data'!B10/'Raw Data'!B14</f>
        <v>7.5743588941216966E-3</v>
      </c>
      <c r="C6" s="25">
        <f>'Raw Data'!C10/'Raw Data'!C14</f>
        <v>5.43899947778649E-3</v>
      </c>
      <c r="D6" s="25">
        <f>'Raw Data'!D10/'Raw Data'!D14</f>
        <v>4.2885877101551057E-3</v>
      </c>
      <c r="E6" s="26">
        <f>'Raw Data'!F10/'Raw Data'!F14</f>
        <v>7.0393348168184648E-3</v>
      </c>
      <c r="F6" s="26">
        <f>'Raw Data'!G10/'Raw Data'!G14</f>
        <v>7.2929529072489315E-3</v>
      </c>
      <c r="G6" s="26">
        <f>'Raw Data'!H10/'Raw Data'!H14</f>
        <v>7.2882797371013382E-3</v>
      </c>
      <c r="H6" s="27" t="s">
        <v>42</v>
      </c>
      <c r="I6" s="28" t="str">
        <f>IF(D6&gt;G6,"TD ✓",IF(G6&gt;D6,"RBC ✓","Tie"))</f>
        <v>RBC ✓</v>
      </c>
      <c r="J6" s="29" t="s">
        <v>43</v>
      </c>
    </row>
    <row r="7" spans="1:10" ht="32" customHeight="1" x14ac:dyDescent="0.2">
      <c r="A7" s="18" t="s">
        <v>44</v>
      </c>
      <c r="B7" s="25">
        <f>'Raw Data'!B10/'Raw Data'!B5</f>
        <v>0.33011319725417104</v>
      </c>
      <c r="C7" s="25">
        <f>'Raw Data'!C10/'Raw Data'!C5</f>
        <v>0.20978496744920103</v>
      </c>
      <c r="D7" s="25">
        <f>'Raw Data'!D10/'Raw Data'!D5</f>
        <v>0.15451828810093843</v>
      </c>
      <c r="E7" s="26">
        <f>'Raw Data'!F10/'Raw Data'!F5</f>
        <v>0.28319098126116049</v>
      </c>
      <c r="F7" s="26">
        <f>'Raw Data'!G10/'Raw Data'!G5</f>
        <v>0.28392662832271104</v>
      </c>
      <c r="G7" s="26">
        <f>'Raw Data'!H10/'Raw Data'!H5</f>
        <v>0.283203125</v>
      </c>
      <c r="H7" s="27" t="s">
        <v>45</v>
      </c>
      <c r="I7" s="28" t="str">
        <f>IF(D7&gt;G7,"TD ✓",IF(G7&gt;D7,"RBC ✓","Tie"))</f>
        <v>RBC ✓</v>
      </c>
      <c r="J7" s="29" t="s">
        <v>46</v>
      </c>
    </row>
    <row r="8" spans="1:10" ht="32" customHeight="1" x14ac:dyDescent="0.2">
      <c r="A8" s="11" t="s">
        <v>47</v>
      </c>
      <c r="B8" s="11"/>
      <c r="C8" s="11"/>
      <c r="D8" s="11"/>
      <c r="E8" s="11"/>
      <c r="F8" s="11"/>
      <c r="G8" s="11"/>
      <c r="H8" s="11"/>
      <c r="I8" s="11"/>
      <c r="J8" s="11"/>
    </row>
    <row r="9" spans="1:10" ht="32" customHeight="1" x14ac:dyDescent="0.2">
      <c r="A9" s="18" t="s">
        <v>48</v>
      </c>
      <c r="B9" s="25">
        <f>'Raw Data'!B9/'Raw Data'!B5</f>
        <v>0.59244442423966903</v>
      </c>
      <c r="C9" s="25">
        <f>'Raw Data'!C9/'Raw Data'!C5</f>
        <v>0.58897218386269479</v>
      </c>
      <c r="D9" s="25">
        <f>'Raw Data'!D9/'Raw Data'!D5</f>
        <v>0.6202575887318037</v>
      </c>
      <c r="E9" s="26">
        <f>'Raw Data'!F9/'Raw Data'!F5</f>
        <v>0.590391772982509</v>
      </c>
      <c r="F9" s="26">
        <f>'Raw Data'!G9/'Raw Data'!G5</f>
        <v>0.59872920876729363</v>
      </c>
      <c r="G9" s="26">
        <f>'Raw Data'!H9/'Raw Data'!H5</f>
        <v>0.5972726004464286</v>
      </c>
      <c r="H9" s="27" t="s">
        <v>49</v>
      </c>
      <c r="I9" s="28" t="str">
        <f>IF(D9&lt;G9,"TD ✓",IF(G9&lt;D9,"RBC ✓","Tie"))</f>
        <v>RBC ✓</v>
      </c>
      <c r="J9" s="29" t="s">
        <v>50</v>
      </c>
    </row>
    <row r="10" spans="1:10" ht="32" customHeight="1" x14ac:dyDescent="0.2">
      <c r="A10" s="18" t="s">
        <v>51</v>
      </c>
      <c r="B10" s="25">
        <f>'Raw Data'!B5/'Raw Data'!B14</f>
        <v>2.2944732161949317E-2</v>
      </c>
      <c r="C10" s="25">
        <f>'Raw Data'!C5/'Raw Data'!C14</f>
        <v>2.5926545376057663E-2</v>
      </c>
      <c r="D10" s="25">
        <f>'Raw Data'!D5/'Raw Data'!D14</f>
        <v>2.7754563960439453E-2</v>
      </c>
      <c r="E10" s="26">
        <f>'Raw Data'!F5/'Raw Data'!F14</f>
        <v>2.4857199849619316E-2</v>
      </c>
      <c r="F10" s="26">
        <f>'Raw Data'!G5/'Raw Data'!G14</f>
        <v>2.5686047660734946E-2</v>
      </c>
      <c r="G10" s="26">
        <f>'Raw Data'!H5/'Raw Data'!H14</f>
        <v>2.573516707169576E-2</v>
      </c>
      <c r="H10" s="27" t="s">
        <v>52</v>
      </c>
      <c r="I10" s="28" t="str">
        <f>IF(D10&gt;G10,"TD ✓",IF(G10&gt;D10,"RBC ✓","Tie"))</f>
        <v>TD ✓</v>
      </c>
      <c r="J10" s="29" t="s">
        <v>53</v>
      </c>
    </row>
    <row r="11" spans="1:10" ht="32" customHeight="1" x14ac:dyDescent="0.2">
      <c r="A11" s="11" t="s">
        <v>54</v>
      </c>
      <c r="B11" s="11"/>
      <c r="C11" s="11"/>
      <c r="D11" s="11"/>
      <c r="E11" s="11"/>
      <c r="F11" s="11"/>
      <c r="G11" s="11"/>
      <c r="H11" s="11"/>
      <c r="I11" s="11"/>
      <c r="J11" s="11"/>
    </row>
    <row r="12" spans="1:10" ht="32" customHeight="1" x14ac:dyDescent="0.2">
      <c r="A12" s="18" t="s">
        <v>55</v>
      </c>
      <c r="B12" s="25">
        <f>'Raw Data'!B8/'Raw Data'!B15</f>
        <v>1.588078377185407E-3</v>
      </c>
      <c r="C12" s="25">
        <f>'Raw Data'!C8/'Raw Data'!C15</f>
        <v>3.2738028797856902E-3</v>
      </c>
      <c r="D12" s="25">
        <f>'Raw Data'!D8/'Raw Data'!D15</f>
        <v>4.4791995787256452E-3</v>
      </c>
      <c r="E12" s="26">
        <f>'Raw Data'!F8/'Raw Data'!F15</f>
        <v>2.1991464649128755E-3</v>
      </c>
      <c r="F12" s="26">
        <f>'Raw Data'!G8/'Raw Data'!G15</f>
        <v>2.7550054474986159E-3</v>
      </c>
      <c r="G12" s="26">
        <f>'Raw Data'!H8/'Raw Data'!H15</f>
        <v>3.3028696746080651E-3</v>
      </c>
      <c r="H12" s="27" t="s">
        <v>56</v>
      </c>
      <c r="I12" s="28" t="str">
        <f>IF(D12&lt;G12,"TD ✓",IF(G12&lt;D12,"RBC ✓","Tie"))</f>
        <v>RBC ✓</v>
      </c>
      <c r="J12" s="29" t="s">
        <v>57</v>
      </c>
    </row>
    <row r="13" spans="1:10" ht="32" customHeight="1" x14ac:dyDescent="0.2">
      <c r="A13" s="18" t="s">
        <v>58</v>
      </c>
      <c r="B13" s="25">
        <f>'Raw Data'!B15/'Raw Data'!B16</f>
        <v>0.73668993549527262</v>
      </c>
      <c r="C13" s="25">
        <f>'Raw Data'!C15/'Raw Data'!C16</f>
        <v>0.74770489066933732</v>
      </c>
      <c r="D13" s="25">
        <f>'Raw Data'!D15/'Raw Data'!D16</f>
        <v>0.74840387798533936</v>
      </c>
      <c r="E13" s="26">
        <f>'Raw Data'!F15/'Raw Data'!F16</f>
        <v>0.80084850606205082</v>
      </c>
      <c r="F13" s="26">
        <f>'Raw Data'!G15/'Raw Data'!G16</f>
        <v>0.7892812869222291</v>
      </c>
      <c r="G13" s="26">
        <f>'Raw Data'!H15/'Raw Data'!H16</f>
        <v>0.76789424948207674</v>
      </c>
      <c r="H13" s="27" t="s">
        <v>59</v>
      </c>
      <c r="I13" s="28" t="str">
        <f>IF(D13&gt;G13,"TD ✓",IF(G13&gt;D13,"RBC ✓","Tie"))</f>
        <v>RBC ✓</v>
      </c>
      <c r="J13" s="29" t="s">
        <v>60</v>
      </c>
    </row>
    <row r="14" spans="1:10" ht="32" customHeight="1" x14ac:dyDescent="0.2">
      <c r="A14" s="11" t="s">
        <v>61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32" customHeight="1" x14ac:dyDescent="0.2">
      <c r="A15" s="18" t="s">
        <v>62</v>
      </c>
      <c r="B15" s="25">
        <f>'Raw Data'!B17/'Raw Data'!B14</f>
        <v>4.9755135887847544E-2</v>
      </c>
      <c r="C15" s="25">
        <f>'Raw Data'!C17/'Raw Data'!C14</f>
        <v>5.7336076872283759E-2</v>
      </c>
      <c r="D15" s="25">
        <f>'Raw Data'!D17/'Raw Data'!D14</f>
        <v>5.5874836486074213E-2</v>
      </c>
      <c r="E15" s="26">
        <f>'Raw Data'!F17/'Raw Data'!F14</f>
        <v>4.5088535825845051E-2</v>
      </c>
      <c r="F15" s="26">
        <f>'Raw Data'!G17/'Raw Data'!G14</f>
        <v>5.1681042614762189E-2</v>
      </c>
      <c r="G15" s="26">
        <f>'Raw Data'!H17/'Raw Data'!H14</f>
        <v>5.269821181338593E-2</v>
      </c>
      <c r="H15" s="27" t="s">
        <v>63</v>
      </c>
      <c r="I15" s="28" t="str">
        <f>IF(D15&gt;G15,"TD ✓",IF(G15&gt;D15,"RBC ✓","Tie"))</f>
        <v>TD ✓</v>
      </c>
      <c r="J15" s="29" t="s">
        <v>64</v>
      </c>
    </row>
    <row r="16" spans="1:10" ht="32" customHeight="1" x14ac:dyDescent="0.2">
      <c r="A16" s="18" t="s">
        <v>65</v>
      </c>
      <c r="B16" s="25">
        <f>ABS('Raw Data'!B20)/'Raw Data'!B10</f>
        <v>0.43524065275769469</v>
      </c>
      <c r="C16" s="25">
        <f>ABS('Raw Data'!C20)/'Raw Data'!C10</f>
        <v>0.66024073725785215</v>
      </c>
      <c r="D16" s="25">
        <f>ABS('Raw Data'!D20)/'Raw Data'!D10</f>
        <v>0.84053381587876042</v>
      </c>
      <c r="E16" s="26">
        <f>ABS('Raw Data'!F20)/'Raw Data'!F10</f>
        <v>0.56309351971435084</v>
      </c>
      <c r="F16" s="26">
        <f>ABS('Raw Data'!G20)/'Raw Data'!G10</f>
        <v>0.54174650971803995</v>
      </c>
      <c r="G16" s="26">
        <f>ABS('Raw Data'!H20)/'Raw Data'!H10</f>
        <v>0.4874384236453202</v>
      </c>
      <c r="H16" s="27" t="s">
        <v>66</v>
      </c>
      <c r="I16" s="28" t="str">
        <f>IF(D16&lt;G16,"TD ✓",IF(G16&lt;D16,"RBC ✓","Tie"))</f>
        <v>RBC ✓</v>
      </c>
      <c r="J16" s="29" t="s">
        <v>67</v>
      </c>
    </row>
    <row r="17" spans="1:10" ht="32" customHeight="1" x14ac:dyDescent="0.2">
      <c r="A17" s="18" t="s">
        <v>68</v>
      </c>
      <c r="B17" s="25">
        <f>'Raw Data'!B19/'Raw Data'!B10</f>
        <v>1.0942642704675343</v>
      </c>
      <c r="C17" s="25">
        <f>'Raw Data'!C19/'Raw Data'!C10</f>
        <v>1.715347000188076</v>
      </c>
      <c r="D17" s="25">
        <f>'Raw Data'!D19/'Raw Data'!D10</f>
        <v>1.8759330468219859</v>
      </c>
      <c r="E17" s="26">
        <f>'Raw Data'!F19/'Raw Data'!F10</f>
        <v>1.3852465243485528</v>
      </c>
      <c r="F17" s="26">
        <f>'Raw Data'!G19/'Raw Data'!G10</f>
        <v>1.3602518477963317</v>
      </c>
      <c r="G17" s="26">
        <f>'Raw Data'!H19/'Raw Data'!H10</f>
        <v>1.363485221674877</v>
      </c>
      <c r="H17" s="27" t="s">
        <v>69</v>
      </c>
      <c r="I17" s="28" t="str">
        <f>IF(D17&gt;G17,"TD ✓",IF(G17&gt;D17,"RBC ✓","Tie"))</f>
        <v>TD ✓</v>
      </c>
      <c r="J17" s="29" t="s">
        <v>70</v>
      </c>
    </row>
  </sheetData>
  <mergeCells count="4">
    <mergeCell ref="A4:J4"/>
    <mergeCell ref="A8:J8"/>
    <mergeCell ref="A11:J11"/>
    <mergeCell ref="A14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7F17"/>
  </sheetPr>
  <dimension ref="A1:F21"/>
  <sheetViews>
    <sheetView showGridLines="0" zoomScaleNormal="100" workbookViewId="0">
      <selection sqref="A1:F1"/>
    </sheetView>
  </sheetViews>
  <sheetFormatPr baseColWidth="10" defaultColWidth="8.6640625" defaultRowHeight="15" x14ac:dyDescent="0.2"/>
  <cols>
    <col min="1" max="1" width="16" customWidth="1"/>
    <col min="2" max="2" width="22" customWidth="1"/>
    <col min="3" max="5" width="12" customWidth="1"/>
    <col min="6" max="6" width="44" customWidth="1"/>
  </cols>
  <sheetData>
    <row r="1" spans="1:6" ht="27.75" customHeight="1" x14ac:dyDescent="0.2">
      <c r="A1" s="12" t="s">
        <v>71</v>
      </c>
      <c r="B1" s="12"/>
      <c r="C1" s="12"/>
      <c r="D1" s="12"/>
      <c r="E1" s="12"/>
      <c r="F1" s="12"/>
    </row>
    <row r="3" spans="1:6" ht="15" customHeight="1" x14ac:dyDescent="0.2">
      <c r="A3" s="17" t="s">
        <v>72</v>
      </c>
      <c r="B3" s="17" t="s">
        <v>73</v>
      </c>
      <c r="C3" s="17" t="s">
        <v>30</v>
      </c>
      <c r="D3" s="17" t="s">
        <v>33</v>
      </c>
      <c r="E3" s="17" t="s">
        <v>74</v>
      </c>
      <c r="F3" s="17" t="s">
        <v>75</v>
      </c>
    </row>
    <row r="4" spans="1:6" ht="21.75" customHeight="1" x14ac:dyDescent="0.2">
      <c r="A4" s="30" t="s">
        <v>76</v>
      </c>
      <c r="B4" s="31" t="s">
        <v>77</v>
      </c>
      <c r="C4" s="32">
        <f>'Ratio Comparison'!D5</f>
        <v>7.6753472222222216E-2</v>
      </c>
      <c r="D4" s="33">
        <f>'Ratio Comparison'!G5</f>
        <v>0.13830222101103692</v>
      </c>
      <c r="E4" s="34" t="s">
        <v>78</v>
      </c>
      <c r="F4" s="35" t="s">
        <v>79</v>
      </c>
    </row>
    <row r="5" spans="1:6" ht="21.75" customHeight="1" x14ac:dyDescent="0.2">
      <c r="A5" s="36" t="s">
        <v>76</v>
      </c>
      <c r="B5" s="37" t="s">
        <v>80</v>
      </c>
      <c r="C5" s="38">
        <f>'Ratio Comparison'!D6</f>
        <v>4.2885877101551057E-3</v>
      </c>
      <c r="D5" s="33">
        <f>'Ratio Comparison'!G6</f>
        <v>7.2882797371013382E-3</v>
      </c>
      <c r="E5" s="34" t="s">
        <v>78</v>
      </c>
      <c r="F5" s="39" t="s">
        <v>81</v>
      </c>
    </row>
    <row r="6" spans="1:6" ht="21.75" customHeight="1" x14ac:dyDescent="0.2">
      <c r="A6" s="30" t="s">
        <v>76</v>
      </c>
      <c r="B6" s="31" t="s">
        <v>82</v>
      </c>
      <c r="C6" s="32">
        <f>'Ratio Comparison'!D7</f>
        <v>0.15451828810093843</v>
      </c>
      <c r="D6" s="33">
        <f>'Ratio Comparison'!G7</f>
        <v>0.283203125</v>
      </c>
      <c r="E6" s="34" t="s">
        <v>78</v>
      </c>
      <c r="F6" s="35" t="s">
        <v>83</v>
      </c>
    </row>
    <row r="7" spans="1:6" ht="21.75" customHeight="1" x14ac:dyDescent="0.2">
      <c r="A7" s="36" t="s">
        <v>84</v>
      </c>
      <c r="B7" s="37" t="s">
        <v>48</v>
      </c>
      <c r="C7" s="38">
        <f>'Ratio Comparison'!D9</f>
        <v>0.6202575887318037</v>
      </c>
      <c r="D7" s="33">
        <f>'Ratio Comparison'!G9</f>
        <v>0.5972726004464286</v>
      </c>
      <c r="E7" s="34" t="s">
        <v>78</v>
      </c>
      <c r="F7" s="39" t="s">
        <v>85</v>
      </c>
    </row>
    <row r="8" spans="1:6" ht="21.75" customHeight="1" x14ac:dyDescent="0.2">
      <c r="A8" s="30" t="s">
        <v>84</v>
      </c>
      <c r="B8" s="31" t="s">
        <v>86</v>
      </c>
      <c r="C8" s="32">
        <f>'Ratio Comparison'!D10</f>
        <v>2.7754563960439453E-2</v>
      </c>
      <c r="D8" s="32">
        <f>'Ratio Comparison'!G10</f>
        <v>2.573516707169576E-2</v>
      </c>
      <c r="E8" s="40" t="s">
        <v>87</v>
      </c>
      <c r="F8" s="35" t="s">
        <v>88</v>
      </c>
    </row>
    <row r="9" spans="1:6" ht="21.75" customHeight="1" x14ac:dyDescent="0.2">
      <c r="A9" s="36" t="s">
        <v>89</v>
      </c>
      <c r="B9" s="37" t="s">
        <v>90</v>
      </c>
      <c r="C9" s="38">
        <f>'Ratio Comparison'!D12</f>
        <v>4.4791995787256452E-3</v>
      </c>
      <c r="D9" s="33">
        <f>'Ratio Comparison'!G12</f>
        <v>3.3028696746080651E-3</v>
      </c>
      <c r="E9" s="34" t="s">
        <v>78</v>
      </c>
      <c r="F9" s="39" t="s">
        <v>91</v>
      </c>
    </row>
    <row r="10" spans="1:6" ht="21.75" customHeight="1" x14ac:dyDescent="0.2">
      <c r="A10" s="30" t="s">
        <v>89</v>
      </c>
      <c r="B10" s="31" t="s">
        <v>92</v>
      </c>
      <c r="C10" s="32">
        <f>'Ratio Comparison'!D13</f>
        <v>0.74840387798533936</v>
      </c>
      <c r="D10" s="32">
        <f>'Ratio Comparison'!G13</f>
        <v>0.76789424948207674</v>
      </c>
      <c r="E10" s="40" t="s">
        <v>87</v>
      </c>
      <c r="F10" s="35" t="s">
        <v>93</v>
      </c>
    </row>
    <row r="11" spans="1:6" ht="21.75" customHeight="1" x14ac:dyDescent="0.2">
      <c r="A11" s="36" t="s">
        <v>94</v>
      </c>
      <c r="B11" s="37" t="s">
        <v>95</v>
      </c>
      <c r="C11" s="38">
        <f>'Ratio Comparison'!D15</f>
        <v>5.5874836486074213E-2</v>
      </c>
      <c r="D11" s="33">
        <f>'Ratio Comparison'!G15</f>
        <v>5.269821181338593E-2</v>
      </c>
      <c r="E11" s="34" t="s">
        <v>78</v>
      </c>
      <c r="F11" s="39" t="s">
        <v>96</v>
      </c>
    </row>
    <row r="12" spans="1:6" ht="21.75" customHeight="1" x14ac:dyDescent="0.2">
      <c r="A12" s="30" t="s">
        <v>94</v>
      </c>
      <c r="B12" s="31" t="s">
        <v>97</v>
      </c>
      <c r="C12" s="32">
        <f>'Ratio Comparison'!D16</f>
        <v>0.84053381587876042</v>
      </c>
      <c r="D12" s="33">
        <f>'Ratio Comparison'!G16</f>
        <v>0.4874384236453202</v>
      </c>
      <c r="E12" s="34" t="s">
        <v>78</v>
      </c>
      <c r="F12" s="35" t="s">
        <v>98</v>
      </c>
    </row>
    <row r="13" spans="1:6" ht="21.75" customHeight="1" x14ac:dyDescent="0.2">
      <c r="A13" s="36" t="s">
        <v>94</v>
      </c>
      <c r="B13" s="37" t="s">
        <v>99</v>
      </c>
      <c r="C13" s="41">
        <f>'Ratio Comparison'!D17</f>
        <v>1.8759330468219859</v>
      </c>
      <c r="D13" s="38">
        <f>'Ratio Comparison'!G17</f>
        <v>1.363485221674877</v>
      </c>
      <c r="E13" s="42" t="s">
        <v>100</v>
      </c>
      <c r="F13" s="39" t="s">
        <v>101</v>
      </c>
    </row>
    <row r="15" spans="1:6" ht="13.5" customHeight="1" x14ac:dyDescent="0.2">
      <c r="A15" s="10"/>
      <c r="B15" s="10"/>
      <c r="C15" s="10"/>
      <c r="D15" s="10"/>
      <c r="E15" s="10"/>
      <c r="F15" s="10"/>
    </row>
    <row r="16" spans="1:6" ht="15" customHeight="1" x14ac:dyDescent="0.2">
      <c r="A16" s="9" t="s">
        <v>102</v>
      </c>
      <c r="B16" s="9"/>
      <c r="C16" s="9"/>
      <c r="D16" s="9"/>
      <c r="E16" s="9"/>
      <c r="F16" s="9"/>
    </row>
    <row r="17" spans="1:6" ht="24" customHeight="1" x14ac:dyDescent="0.2">
      <c r="A17" s="8" t="s">
        <v>103</v>
      </c>
      <c r="B17" s="8"/>
      <c r="C17" s="8"/>
      <c r="D17" s="8"/>
      <c r="E17" s="7">
        <f>COUNTIF(E4:E13,"TD ✓")</f>
        <v>1</v>
      </c>
      <c r="F17" s="7"/>
    </row>
    <row r="18" spans="1:6" ht="24" customHeight="1" x14ac:dyDescent="0.2">
      <c r="A18" s="6" t="s">
        <v>104</v>
      </c>
      <c r="B18" s="6"/>
      <c r="C18" s="6"/>
      <c r="D18" s="6"/>
      <c r="E18" s="5">
        <f>COUNTIF(E4:E13,"RBC ✓")</f>
        <v>7</v>
      </c>
      <c r="F18" s="5"/>
    </row>
    <row r="19" spans="1:6" ht="24" customHeight="1" x14ac:dyDescent="0.2">
      <c r="A19" s="4" t="s">
        <v>105</v>
      </c>
      <c r="B19" s="4"/>
      <c r="C19" s="4"/>
      <c r="D19" s="4"/>
      <c r="E19" s="3">
        <f>COUNTIF(E4:E13,"Tie")</f>
        <v>2</v>
      </c>
      <c r="F19" s="3"/>
    </row>
    <row r="21" spans="1:6" ht="30" customHeight="1" x14ac:dyDescent="0.2">
      <c r="A21" s="2" t="s">
        <v>106</v>
      </c>
      <c r="B21" s="2"/>
      <c r="C21" s="2"/>
      <c r="D21" s="2"/>
      <c r="E21" s="2"/>
      <c r="F21" s="2"/>
    </row>
  </sheetData>
  <mergeCells count="10">
    <mergeCell ref="A18:D18"/>
    <mergeCell ref="E18:F18"/>
    <mergeCell ref="A19:D19"/>
    <mergeCell ref="E19:F19"/>
    <mergeCell ref="A21:F21"/>
    <mergeCell ref="A1:F1"/>
    <mergeCell ref="A15:F15"/>
    <mergeCell ref="A16:F16"/>
    <mergeCell ref="A17:D17"/>
    <mergeCell ref="E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R11"/>
  <sheetViews>
    <sheetView showGridLines="0" tabSelected="1" topLeftCell="G1" zoomScaleNormal="100" workbookViewId="0">
      <selection activeCell="R22" sqref="R22"/>
    </sheetView>
  </sheetViews>
  <sheetFormatPr baseColWidth="10" defaultColWidth="8.6640625" defaultRowHeight="15" x14ac:dyDescent="0.2"/>
  <cols>
    <col min="1" max="4" width="10" customWidth="1"/>
    <col min="10" max="10" width="10" customWidth="1"/>
    <col min="11" max="12" width="12" customWidth="1"/>
    <col min="16" max="18" width="10" customWidth="1"/>
  </cols>
  <sheetData>
    <row r="1" spans="1:18" ht="27.75" customHeight="1" x14ac:dyDescent="0.2">
      <c r="A1" s="1" t="s">
        <v>107</v>
      </c>
      <c r="B1" s="1"/>
      <c r="C1" s="1"/>
      <c r="D1" s="1"/>
      <c r="E1" s="1"/>
      <c r="F1" s="1"/>
      <c r="G1" s="1"/>
      <c r="H1" s="1"/>
      <c r="I1" s="43"/>
    </row>
    <row r="3" spans="1:18" ht="15" customHeight="1" x14ac:dyDescent="0.2">
      <c r="A3" s="44"/>
      <c r="B3" s="44" t="s">
        <v>1</v>
      </c>
      <c r="C3" s="44" t="s">
        <v>2</v>
      </c>
      <c r="D3" s="45"/>
      <c r="J3" s="44"/>
      <c r="K3" s="44" t="s">
        <v>1</v>
      </c>
      <c r="L3" s="44" t="s">
        <v>2</v>
      </c>
      <c r="P3" s="44"/>
      <c r="Q3" s="44" t="s">
        <v>1</v>
      </c>
      <c r="R3" s="44" t="s">
        <v>2</v>
      </c>
    </row>
    <row r="4" spans="1:18" ht="15" customHeight="1" x14ac:dyDescent="0.2">
      <c r="A4" s="46" t="s">
        <v>4</v>
      </c>
      <c r="B4" s="47">
        <v>0.152</v>
      </c>
      <c r="C4" s="47">
        <v>0.156</v>
      </c>
      <c r="D4" s="48"/>
      <c r="J4" s="49" t="s">
        <v>4</v>
      </c>
      <c r="K4" s="50">
        <v>14523</v>
      </c>
      <c r="L4" s="50">
        <v>13163</v>
      </c>
      <c r="P4" s="49" t="s">
        <v>4</v>
      </c>
      <c r="Q4" s="51">
        <v>0.59299999999999997</v>
      </c>
      <c r="R4" s="51">
        <v>0.59</v>
      </c>
    </row>
    <row r="5" spans="1:18" ht="15" customHeight="1" x14ac:dyDescent="0.2">
      <c r="A5" s="52" t="s">
        <v>5</v>
      </c>
      <c r="B5" s="53">
        <v>9.9000000000000005E-2</v>
      </c>
      <c r="C5" s="53">
        <v>0.14199999999999999</v>
      </c>
      <c r="D5" s="54"/>
      <c r="J5" s="49" t="s">
        <v>5</v>
      </c>
      <c r="K5" s="50">
        <v>10634</v>
      </c>
      <c r="L5" s="50">
        <v>14612</v>
      </c>
      <c r="P5" s="49" t="s">
        <v>5</v>
      </c>
      <c r="Q5" s="51">
        <v>0.58899999999999997</v>
      </c>
      <c r="R5" s="51">
        <v>0.59899999999999998</v>
      </c>
    </row>
    <row r="6" spans="1:18" ht="15" customHeight="1" x14ac:dyDescent="0.2">
      <c r="A6" s="46" t="s">
        <v>6</v>
      </c>
      <c r="B6" s="47">
        <v>8.2000000000000003E-2</v>
      </c>
      <c r="C6" s="47">
        <v>0.13800000000000001</v>
      </c>
      <c r="D6" s="48"/>
      <c r="J6" s="49" t="s">
        <v>6</v>
      </c>
      <c r="K6" s="50">
        <v>8842</v>
      </c>
      <c r="L6" s="50">
        <v>16240</v>
      </c>
      <c r="P6" s="49" t="s">
        <v>6</v>
      </c>
      <c r="Q6" s="51">
        <v>0.62</v>
      </c>
      <c r="R6" s="51">
        <v>0.59699999999999998</v>
      </c>
    </row>
    <row r="7" spans="1:18" ht="15" customHeight="1" x14ac:dyDescent="0.2">
      <c r="A7" s="55"/>
      <c r="B7" s="54"/>
      <c r="C7" s="54"/>
      <c r="D7" s="54"/>
    </row>
    <row r="8" spans="1:18" ht="15" customHeight="1" x14ac:dyDescent="0.2">
      <c r="A8" s="56"/>
      <c r="B8" s="57"/>
      <c r="C8" s="57"/>
      <c r="D8" s="57"/>
    </row>
    <row r="9" spans="1:18" ht="15" customHeight="1" x14ac:dyDescent="0.2">
      <c r="A9" s="55"/>
      <c r="B9" s="58"/>
      <c r="C9" s="58"/>
      <c r="D9" s="58"/>
    </row>
    <row r="10" spans="1:18" ht="15" customHeight="1" x14ac:dyDescent="0.2">
      <c r="A10" s="59"/>
      <c r="B10" s="60"/>
      <c r="C10" s="60"/>
      <c r="D10" s="60"/>
    </row>
    <row r="11" spans="1:18" ht="15" customHeight="1" x14ac:dyDescent="0.2">
      <c r="A11" s="59"/>
      <c r="B11" s="60"/>
      <c r="C11" s="60"/>
      <c r="D11" s="60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80E4F"/>
  </sheetPr>
  <dimension ref="B2:B30"/>
  <sheetViews>
    <sheetView showGridLines="0" zoomScaleNormal="100" workbookViewId="0">
      <selection activeCell="B5" sqref="B5"/>
    </sheetView>
  </sheetViews>
  <sheetFormatPr baseColWidth="10" defaultColWidth="8.6640625" defaultRowHeight="15" x14ac:dyDescent="0.2"/>
  <cols>
    <col min="1" max="1" width="2" customWidth="1"/>
    <col min="2" max="2" width="110" customWidth="1"/>
  </cols>
  <sheetData>
    <row r="2" spans="2:2" ht="33.75" customHeight="1" x14ac:dyDescent="0.2">
      <c r="B2" s="61" t="s">
        <v>108</v>
      </c>
    </row>
    <row r="3" spans="2:2" ht="19.5" customHeight="1" x14ac:dyDescent="0.2">
      <c r="B3" s="62" t="s">
        <v>109</v>
      </c>
    </row>
    <row r="4" spans="2:2" ht="15.75" customHeight="1" x14ac:dyDescent="0.2">
      <c r="B4" s="63" t="s">
        <v>130</v>
      </c>
    </row>
    <row r="5" spans="2:2" ht="6" customHeight="1" x14ac:dyDescent="0.2">
      <c r="B5" s="64"/>
    </row>
    <row r="6" spans="2:2" ht="21.75" customHeight="1" x14ac:dyDescent="0.2">
      <c r="B6" s="65" t="s">
        <v>110</v>
      </c>
    </row>
    <row r="7" spans="2:2" ht="54" customHeight="1" x14ac:dyDescent="0.2">
      <c r="B7" s="66" t="s">
        <v>111</v>
      </c>
    </row>
    <row r="8" spans="2:2" ht="6" customHeight="1" x14ac:dyDescent="0.2">
      <c r="B8" s="64"/>
    </row>
    <row r="9" spans="2:2" ht="21.75" customHeight="1" x14ac:dyDescent="0.2">
      <c r="B9" s="65" t="s">
        <v>112</v>
      </c>
    </row>
    <row r="10" spans="2:2" ht="54" customHeight="1" x14ac:dyDescent="0.2">
      <c r="B10" s="66" t="s">
        <v>113</v>
      </c>
    </row>
    <row r="11" spans="2:2" ht="54" customHeight="1" x14ac:dyDescent="0.2">
      <c r="B11" s="66" t="s">
        <v>114</v>
      </c>
    </row>
    <row r="12" spans="2:2" ht="6" customHeight="1" x14ac:dyDescent="0.2">
      <c r="B12" s="64"/>
    </row>
    <row r="13" spans="2:2" ht="21.75" customHeight="1" x14ac:dyDescent="0.2">
      <c r="B13" s="65" t="s">
        <v>115</v>
      </c>
    </row>
    <row r="14" spans="2:2" ht="54" customHeight="1" x14ac:dyDescent="0.2">
      <c r="B14" s="66" t="s">
        <v>116</v>
      </c>
    </row>
    <row r="15" spans="2:2" ht="54" customHeight="1" x14ac:dyDescent="0.2">
      <c r="B15" s="66" t="s">
        <v>117</v>
      </c>
    </row>
    <row r="16" spans="2:2" ht="54" customHeight="1" x14ac:dyDescent="0.2">
      <c r="B16" s="66" t="s">
        <v>118</v>
      </c>
    </row>
    <row r="17" spans="2:2" ht="54" customHeight="1" x14ac:dyDescent="0.2">
      <c r="B17" s="66" t="s">
        <v>119</v>
      </c>
    </row>
    <row r="18" spans="2:2" ht="54" customHeight="1" x14ac:dyDescent="0.2">
      <c r="B18" s="66" t="s">
        <v>120</v>
      </c>
    </row>
    <row r="19" spans="2:2" ht="6" customHeight="1" x14ac:dyDescent="0.2">
      <c r="B19" s="64"/>
    </row>
    <row r="20" spans="2:2" ht="21.75" customHeight="1" x14ac:dyDescent="0.2">
      <c r="B20" s="65" t="s">
        <v>121</v>
      </c>
    </row>
    <row r="21" spans="2:2" ht="54" customHeight="1" x14ac:dyDescent="0.2">
      <c r="B21" s="66" t="s">
        <v>122</v>
      </c>
    </row>
    <row r="22" spans="2:2" ht="54" customHeight="1" x14ac:dyDescent="0.2">
      <c r="B22" s="66" t="s">
        <v>123</v>
      </c>
    </row>
    <row r="23" spans="2:2" ht="6" customHeight="1" x14ac:dyDescent="0.2">
      <c r="B23" s="64"/>
    </row>
    <row r="24" spans="2:2" ht="21.75" customHeight="1" x14ac:dyDescent="0.2">
      <c r="B24" s="65" t="s">
        <v>124</v>
      </c>
    </row>
    <row r="25" spans="2:2" ht="54" customHeight="1" x14ac:dyDescent="0.2">
      <c r="B25" s="66" t="s">
        <v>125</v>
      </c>
    </row>
    <row r="26" spans="2:2" ht="54" customHeight="1" x14ac:dyDescent="0.2">
      <c r="B26" s="66" t="s">
        <v>126</v>
      </c>
    </row>
    <row r="27" spans="2:2" ht="54" customHeight="1" x14ac:dyDescent="0.2">
      <c r="B27" s="66" t="s">
        <v>127</v>
      </c>
    </row>
    <row r="28" spans="2:2" ht="54" customHeight="1" x14ac:dyDescent="0.2">
      <c r="B28" s="66" t="s">
        <v>128</v>
      </c>
    </row>
    <row r="29" spans="2:2" ht="6" customHeight="1" x14ac:dyDescent="0.2">
      <c r="B29" s="64"/>
    </row>
    <row r="30" spans="2:2" ht="25.5" customHeight="1" x14ac:dyDescent="0.2">
      <c r="B30" s="67" t="s">
        <v>129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Ratio Comparison</vt:lpstr>
      <vt:lpstr>Scoring Dashboard</vt:lpstr>
      <vt:lpstr>Visual Comparison</vt:lpstr>
      <vt:lpstr>Analyst Memo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Dhaliwal, Jeevan</cp:lastModifiedBy>
  <cp:revision>3</cp:revision>
  <dcterms:created xsi:type="dcterms:W3CDTF">2026-05-26T16:13:15Z</dcterms:created>
  <dcterms:modified xsi:type="dcterms:W3CDTF">2026-05-26T16:35:56Z</dcterms:modified>
  <dc:language>en-US</dc:language>
</cp:coreProperties>
</file>